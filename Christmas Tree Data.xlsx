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a8f0579e8fd556/Documents/Portfolio/"/>
    </mc:Choice>
  </mc:AlternateContent>
  <xr:revisionPtr revIDLastSave="46" documentId="14_{7B9EAB5C-EF91-4296-A65E-A8A5BE548917}" xr6:coauthVersionLast="47" xr6:coauthVersionMax="47" xr10:uidLastSave="{8595DFC4-3BDA-4654-9DAB-32ED09279E49}"/>
  <bookViews>
    <workbookView minimized="1" xWindow="2580" yWindow="2580" windowWidth="14400" windowHeight="7270" firstSheet="7" activeTab="7" xr2:uid="{772CCB16-13A5-4E90-8C3D-C6DA9BC702FD}"/>
  </bookViews>
  <sheets>
    <sheet name="Trees Sold by Type and Year" sheetId="2" r:id="rId1"/>
    <sheet name="Trees Sold (millions)" sheetId="7" r:id="rId2"/>
    <sheet name="Avg Tree Price by Type and Year" sheetId="3" r:id="rId3"/>
    <sheet name="Avg Tree Price" sheetId="9" r:id="rId4"/>
    <sheet name="Sales by Type and Year" sheetId="4" r:id="rId5"/>
    <sheet name="Sales (billions)" sheetId="10" r:id="rId6"/>
    <sheet name="Real vs. Fake Tree Market Share" sheetId="6" r:id="rId7"/>
    <sheet name="YOY Return %" sheetId="11" r:id="rId8"/>
    <sheet name="Week 40 - US Christmas Tree Sal" sheetId="1" r:id="rId9"/>
  </sheets>
  <calcPr calcId="191029"/>
  <pivotCaches>
    <pivotCache cacheId="0" r:id="rId10"/>
    <pivotCache cacheId="1" r:id="rId11"/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1" l="1"/>
  <c r="C13" i="11"/>
  <c r="C14" i="11"/>
  <c r="C15" i="11"/>
  <c r="C16" i="11"/>
  <c r="C17" i="11"/>
  <c r="B13" i="11"/>
  <c r="B14" i="11"/>
  <c r="B15" i="11"/>
  <c r="B16" i="11"/>
  <c r="B17" i="11"/>
  <c r="B12" i="11"/>
  <c r="E8" i="7"/>
  <c r="E7" i="7"/>
</calcChain>
</file>

<file path=xl/sharedStrings.xml><?xml version="1.0" encoding="utf-8"?>
<sst xmlns="http://schemas.openxmlformats.org/spreadsheetml/2006/main" count="62" uniqueCount="18">
  <si>
    <t>index</t>
  </si>
  <si>
    <t>Year</t>
  </si>
  <si>
    <t>Type of tree</t>
  </si>
  <si>
    <t>Number of trees sold</t>
  </si>
  <si>
    <t>Average Tree Price</t>
  </si>
  <si>
    <t>Sales</t>
  </si>
  <si>
    <t>Real tree</t>
  </si>
  <si>
    <t>Fake tree</t>
  </si>
  <si>
    <t>Row Labels</t>
  </si>
  <si>
    <t>Grand Total</t>
  </si>
  <si>
    <t>Column Labels</t>
  </si>
  <si>
    <t>Sales by Type and Year in Billions</t>
  </si>
  <si>
    <t>Real vs. Fake Tree Market Share</t>
  </si>
  <si>
    <t>Fake Tree</t>
  </si>
  <si>
    <t>Real Tree</t>
  </si>
  <si>
    <t>Fake trees seem to be more popular as time goes on, with the greatest market share occuring in 2013.</t>
  </si>
  <si>
    <t>Trees Sold by Type and Year (in Millions)</t>
  </si>
  <si>
    <t>Avg Tree Price by Type and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</si>
</sst>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,,,"/>
    <numFmt numFmtId="165" formatCode="0.0,,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6" fillId="33" borderId="10" xfId="0" applyFont="1" applyFill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[Christmas Tree Data.xlsx]Trees Sold by Type and Year!PivotTable23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'Trees Sold by Type and Year'!$B$4:$B$5</c:f>
              <c:strCache>
                <c:ptCount val="1"/>
                <c:pt idx="0">
                  <c:v>Fake tree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'Trees Sold by Type and Year'!$A$6:$A$13</c:f>
              <c:strCach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strCache>
            </c:strRef>
          </c:cat>
          <c:val>
            <c:numRef>
              <c:f>'Trees Sold by Type and Year'!$B$6:$B$13</c:f>
              <c:numCache>
                <c:formatCode>0.0,,</c:formatCode>
                <c:ptCount val="7"/>
                <c:pt idx="0">
                  <c:v>8200000</c:v>
                </c:pt>
                <c:pt idx="1">
                  <c:v>9500000</c:v>
                </c:pt>
                <c:pt idx="2">
                  <c:v>10900000</c:v>
                </c:pt>
                <c:pt idx="3">
                  <c:v>14700000</c:v>
                </c:pt>
                <c:pt idx="4">
                  <c:v>13900000</c:v>
                </c:pt>
                <c:pt idx="5">
                  <c:v>12500000</c:v>
                </c:pt>
                <c:pt idx="6">
                  <c:v>18600000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AD-4EF1-88B5-1E282C099432}"/>
            </c:ext>
          </c:extLst>
        </c:ser>
        <c:ser>
          <c:idx val="1"/>
          <c:order val="1"/>
          <c:tx>
            <c:strRef>
              <c:f>'Trees Sold by Type and Year'!$C$4:$C$5</c:f>
              <c:strCache>
                <c:ptCount val="1"/>
                <c:pt idx="0">
                  <c:v>Real 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'Trees Sold by Type and Year'!$A$6:$A$13</c:f>
              <c:strCach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strCache>
            </c:strRef>
          </c:cat>
          <c:val>
            <c:numRef>
              <c:f>'Trees Sold by Type and Year'!$C$6:$C$13</c:f>
              <c:numCache>
                <c:formatCode>0.0,,</c:formatCode>
                <c:ptCount val="7"/>
                <c:pt idx="0">
                  <c:v>27000000</c:v>
                </c:pt>
                <c:pt idx="1">
                  <c:v>30800000</c:v>
                </c:pt>
                <c:pt idx="2">
                  <c:v>24500000</c:v>
                </c:pt>
                <c:pt idx="3">
                  <c:v>33020000</c:v>
                </c:pt>
                <c:pt idx="4">
                  <c:v>26300000</c:v>
                </c:pt>
                <c:pt idx="5">
                  <c:v>25900000</c:v>
                </c:pt>
                <c:pt idx="6">
                  <c:v>27400000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AD-4EF1-88B5-1E282C099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478111"/>
        <c:axId val="453469471"/>
      </c:lineChart>
      <c:catAx>
        <c:axId val="45347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69471"/>
        <c:crosses val="autoZero"/>
        <c:auto val="1"/>
        <c:lblAlgn val="ctr"/>
        <c:lblOffset val="100"/>
        <c:noMultiLvlLbl val="0"/>
      </c:catAx>
      <c:valAx>
        <c:axId val="4534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7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[Christmas Tree Data.xlsx]Avg Tree Price by Type and Year!PivotTable25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Tree Price by Type and Year'!$B$4:$B$5</c:f>
              <c:strCache>
                <c:ptCount val="1"/>
                <c:pt idx="0">
                  <c:v>Fake tree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Tree Price by Type and Year'!$A$6:$A$13</c:f>
              <c:strCach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strCache>
            </c:strRef>
          </c:cat>
          <c:val>
            <c:numRef>
              <c:f>'Avg Tree Price by Type and Year'!$B$6:$B$13</c:f>
              <c:numCache>
                <c:formatCode>General</c:formatCode>
                <c:ptCount val="7"/>
                <c:pt idx="0">
                  <c:v>64.61</c:v>
                </c:pt>
                <c:pt idx="1">
                  <c:v>70.55</c:v>
                </c:pt>
                <c:pt idx="2">
                  <c:v>72.5</c:v>
                </c:pt>
                <c:pt idx="3">
                  <c:v>81.3</c:v>
                </c:pt>
                <c:pt idx="4">
                  <c:v>63.6</c:v>
                </c:pt>
                <c:pt idx="5">
                  <c:v>69.38</c:v>
                </c:pt>
                <c:pt idx="6">
                  <c:v>98.7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A-492B-BB60-90D762E7ABC0}"/>
            </c:ext>
          </c:extLst>
        </c:ser>
        <c:ser>
          <c:idx val="1"/>
          <c:order val="1"/>
          <c:tx>
            <c:strRef>
              <c:f>'Avg Tree Price by Type and Year'!$C$4:$C$5</c:f>
              <c:strCache>
                <c:ptCount val="1"/>
                <c:pt idx="0">
                  <c:v>Real 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Tree Price by Type and Year'!$A$6:$A$13</c:f>
              <c:strCach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strCache>
            </c:strRef>
          </c:cat>
          <c:val>
            <c:numRef>
              <c:f>'Avg Tree Price by Type and Year'!$C$6:$C$13</c:f>
              <c:numCache>
                <c:formatCode>General</c:formatCode>
                <c:ptCount val="7"/>
                <c:pt idx="0">
                  <c:v>36.119999999999997</c:v>
                </c:pt>
                <c:pt idx="1">
                  <c:v>34.869999999999997</c:v>
                </c:pt>
                <c:pt idx="2">
                  <c:v>40.299999999999997</c:v>
                </c:pt>
                <c:pt idx="3">
                  <c:v>35.299999999999997</c:v>
                </c:pt>
                <c:pt idx="4">
                  <c:v>39.5</c:v>
                </c:pt>
                <c:pt idx="5">
                  <c:v>50.82</c:v>
                </c:pt>
                <c:pt idx="6">
                  <c:v>74.7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A-492B-BB60-90D762E7A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881247"/>
        <c:axId val="443883167"/>
      </c:lineChart>
      <c:catAx>
        <c:axId val="44388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83167"/>
        <c:crosses val="autoZero"/>
        <c:auto val="1"/>
        <c:lblAlgn val="ctr"/>
        <c:lblOffset val="100"/>
        <c:noMultiLvlLbl val="0"/>
      </c:catAx>
      <c:valAx>
        <c:axId val="4438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8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[Christmas Tree Data.xlsx]Sales by Type and Year!PivotTable26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Type and Year'!$B$5:$B$6</c:f>
              <c:strCache>
                <c:ptCount val="1"/>
                <c:pt idx="0">
                  <c:v>Fake tree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Type and Year'!$A$7:$A$14</c:f>
              <c:strCach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strCache>
            </c:strRef>
          </c:cat>
          <c:val>
            <c:numRef>
              <c:f>'Sales by Type and Year'!$B$7:$B$14</c:f>
              <c:numCache>
                <c:formatCode>#,##0.00,,,</c:formatCode>
                <c:ptCount val="7"/>
                <c:pt idx="0">
                  <c:v>529802000</c:v>
                </c:pt>
                <c:pt idx="1">
                  <c:v>670225000</c:v>
                </c:pt>
                <c:pt idx="2">
                  <c:v>790250000</c:v>
                </c:pt>
                <c:pt idx="3">
                  <c:v>1195110000</c:v>
                </c:pt>
                <c:pt idx="4">
                  <c:v>884040000</c:v>
                </c:pt>
                <c:pt idx="5">
                  <c:v>867250000</c:v>
                </c:pt>
                <c:pt idx="6">
                  <c:v>1835820000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A-419F-BD3D-DD5C493A8963}"/>
            </c:ext>
          </c:extLst>
        </c:ser>
        <c:ser>
          <c:idx val="1"/>
          <c:order val="1"/>
          <c:tx>
            <c:strRef>
              <c:f>'Sales by Type and Year'!$C$5:$C$6</c:f>
              <c:strCache>
                <c:ptCount val="1"/>
                <c:pt idx="0">
                  <c:v>Real tree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by Type and Year'!$A$7:$A$14</c:f>
              <c:strCach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strCache>
            </c:strRef>
          </c:cat>
          <c:val>
            <c:numRef>
              <c:f>'Sales by Type and Year'!$C$7:$C$14</c:f>
              <c:numCache>
                <c:formatCode>#,##0.00,,,</c:formatCode>
                <c:ptCount val="7"/>
                <c:pt idx="0">
                  <c:v>975240000</c:v>
                </c:pt>
                <c:pt idx="1">
                  <c:v>1073996000</c:v>
                </c:pt>
                <c:pt idx="2">
                  <c:v>987350000</c:v>
                </c:pt>
                <c:pt idx="3">
                  <c:v>1165606000</c:v>
                </c:pt>
                <c:pt idx="4">
                  <c:v>1038850000</c:v>
                </c:pt>
                <c:pt idx="5">
                  <c:v>1316238000</c:v>
                </c:pt>
                <c:pt idx="6">
                  <c:v>2046780000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A-419F-BD3D-DD5C493A8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329759"/>
        <c:axId val="606330239"/>
      </c:lineChart>
      <c:catAx>
        <c:axId val="60632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0239"/>
        <c:crosses val="autoZero"/>
        <c:auto val="1"/>
        <c:lblAlgn val="ctr"/>
        <c:lblOffset val="100"/>
        <c:noMultiLvlLbl val="0"/>
      </c:catAx>
      <c:valAx>
        <c:axId val="6063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2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vs. Fake Tree 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'Real vs. Fake Tree Market Share'!$C$5</c:f>
              <c:strCache>
                <c:ptCount val="1"/>
                <c:pt idx="0">
                  <c:v>Fake Tree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'Real vs. Fake Tree Market Share'!$B$6:$B$12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'Real vs. Fake Tree Market Share'!$C$6:$C$12</c:f>
              <c:numCache>
                <c:formatCode>0.00%</c:formatCode>
                <c:ptCount val="7"/>
                <c:pt idx="0">
                  <c:v>0.35201808321628236</c:v>
                </c:pt>
                <c:pt idx="1">
                  <c:v>0.38425463287049061</c:v>
                </c:pt>
                <c:pt idx="2">
                  <c:v>0.44456008100810079</c:v>
                </c:pt>
                <c:pt idx="3">
                  <c:v>0.50624895158926364</c:v>
                </c:pt>
                <c:pt idx="4">
                  <c:v>0.45974548726136183</c:v>
                </c:pt>
                <c:pt idx="5">
                  <c:v>0.39718560395110941</c:v>
                </c:pt>
                <c:pt idx="6">
                  <c:v>0.47283263792304125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8-4B17-A723-7816B4A125AC}"/>
            </c:ext>
          </c:extLst>
        </c:ser>
        <c:ser>
          <c:idx val="1"/>
          <c:order val="1"/>
          <c:tx>
            <c:strRef>
              <c:f>'Real vs. Fake Tree Market Share'!$D$5</c:f>
              <c:strCache>
                <c:ptCount val="1"/>
                <c:pt idx="0">
                  <c:v>Real Tree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'Real vs. Fake Tree Market Share'!$B$6:$B$12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'Real vs. Fake Tree Market Share'!$D$6:$D$12</c:f>
              <c:numCache>
                <c:formatCode>0.00%</c:formatCode>
                <c:ptCount val="7"/>
                <c:pt idx="0">
                  <c:v>0.64798191678371764</c:v>
                </c:pt>
                <c:pt idx="1">
                  <c:v>0.61574536712950945</c:v>
                </c:pt>
                <c:pt idx="2">
                  <c:v>0.55543991899189915</c:v>
                </c:pt>
                <c:pt idx="3">
                  <c:v>0.49375104841073642</c:v>
                </c:pt>
                <c:pt idx="4">
                  <c:v>0.54025451273863823</c:v>
                </c:pt>
                <c:pt idx="5">
                  <c:v>0.60281439604889053</c:v>
                </c:pt>
                <c:pt idx="6">
                  <c:v>0.52716736207695869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8-4B17-A723-7816B4A12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159343"/>
        <c:axId val="891163183"/>
      </c:areaChart>
      <c:catAx>
        <c:axId val="891159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63183"/>
        <c:crosses val="autoZero"/>
        <c:auto val="1"/>
        <c:lblAlgn val="ctr"/>
        <c:lblOffset val="100"/>
        <c:noMultiLvlLbl val="0"/>
      </c:catAx>
      <c:valAx>
        <c:axId val="8911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5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50800</xdr:rowOff>
    </xdr:from>
    <xdr:to>
      <xdr:col>10</xdr:col>
      <xdr:colOff>95250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7C7262-F822-7B40-B5E0-164CBC369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0</xdr:row>
      <xdr:rowOff>152400</xdr:rowOff>
    </xdr:from>
    <xdr:to>
      <xdr:col>15</xdr:col>
      <xdr:colOff>38100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58867B-405A-0C6F-D449-07F54D0F2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192088</xdr:colOff>
      <xdr:row>1</xdr:row>
      <xdr:rowOff>141287</xdr:rowOff>
    </xdr:from>
    <xdr:to>
      <xdr:col>10</xdr:col>
      <xdr:colOff>395288</xdr:colOff>
      <xdr:row>13</xdr:row>
      <xdr:rowOff>179387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0C66A-148E-B5F5-4E61-116AAF83D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12</xdr:row>
      <xdr:rowOff>171450</xdr:rowOff>
    </xdr:from>
    <xdr:to>
      <xdr:col>6</xdr:col>
      <xdr:colOff>225425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B8A13-5313-B5D0-B040-147F0D079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pton Maxim" refreshedDate="45991.790492708336" createdVersion="8" refreshedVersion="8" minRefreshableVersion="3" recordCount="14" xr:uid="{574773F4-365C-4C45-BAC7-EB46FA5EF932}">
  <cacheSource type="worksheet">
    <worksheetSource ref="B1:D15" sheet="Week 40 - US Christmas Tree Sal"/>
  </cacheSource>
  <cacheFields count="3">
    <cacheField name="Year" numFmtId="0">
      <sharedItems containsSemiMixedTypes="0" containsString="0" containsNumber="1" containsInteger="1" minValue="2010" maxValue="2016" count="7">
        <n v="2010"/>
        <n v="2011"/>
        <n v="2012"/>
        <n v="2013"/>
        <n v="2014"/>
        <n v="2015"/>
        <n v="2016"/>
      </sharedItems>
    </cacheField>
    <cacheField name="Type of tree" numFmtId="0">
      <sharedItems count="2">
        <s v="Real tree"/>
        <s v="Fake tree"/>
      </sharedItems>
    </cacheField>
    <cacheField name="Number of trees sold" numFmtId="0">
      <sharedItems containsSemiMixedTypes="0" containsString="0" containsNumber="1" containsInteger="1" minValue="8200000" maxValue="330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pton Maxim" refreshedDate="45991.896497569447" createdVersion="8" refreshedVersion="8" minRefreshableVersion="3" recordCount="14" xr:uid="{38856ACC-E2A6-400B-9746-9CB20CF27A48}">
  <cacheSource type="worksheet">
    <worksheetSource ref="B1:E15" sheet="Week 40 - US Christmas Tree Sal"/>
  </cacheSource>
  <cacheFields count="4">
    <cacheField name="Year" numFmtId="0">
      <sharedItems containsSemiMixedTypes="0" containsString="0" containsNumber="1" containsInteger="1" minValue="2010" maxValue="2016" count="7">
        <n v="2010"/>
        <n v="2011"/>
        <n v="2012"/>
        <n v="2013"/>
        <n v="2014"/>
        <n v="2015"/>
        <n v="2016"/>
      </sharedItems>
    </cacheField>
    <cacheField name="Type of tree" numFmtId="0">
      <sharedItems count="2">
        <s v="Real tree"/>
        <s v="Fake tree"/>
      </sharedItems>
    </cacheField>
    <cacheField name="Number of trees sold" numFmtId="0">
      <sharedItems containsSemiMixedTypes="0" containsString="0" containsNumber="1" containsInteger="1" minValue="8200000" maxValue="33020000"/>
    </cacheField>
    <cacheField name="Average Tree Price" numFmtId="0">
      <sharedItems containsSemiMixedTypes="0" containsString="0" containsNumber="1" minValue="34.869999999999997" maxValue="98.7" count="14">
        <n v="36.119999999999997"/>
        <n v="34.869999999999997"/>
        <n v="40.299999999999997"/>
        <n v="35.299999999999997"/>
        <n v="39.5"/>
        <n v="50.82"/>
        <n v="74.7"/>
        <n v="64.61"/>
        <n v="70.55"/>
        <n v="72.5"/>
        <n v="81.3"/>
        <n v="63.6"/>
        <n v="69.38"/>
        <n v="98.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pton Maxim" refreshedDate="45991.899769444448" createdVersion="8" refreshedVersion="8" minRefreshableVersion="3" recordCount="14" xr:uid="{37C1F032-515D-4DF1-96DD-E340424C119D}">
  <cacheSource type="worksheet">
    <worksheetSource ref="B1:F15" sheet="Week 40 - US Christmas Tree Sal"/>
  </cacheSource>
  <cacheFields count="5">
    <cacheField name="Year" numFmtId="0">
      <sharedItems containsSemiMixedTypes="0" containsString="0" containsNumber="1" containsInteger="1" minValue="2010" maxValue="2016" count="7">
        <n v="2010"/>
        <n v="2011"/>
        <n v="2012"/>
        <n v="2013"/>
        <n v="2014"/>
        <n v="2015"/>
        <n v="2016"/>
      </sharedItems>
    </cacheField>
    <cacheField name="Type of tree" numFmtId="0">
      <sharedItems count="2">
        <s v="Real tree"/>
        <s v="Fake tree"/>
      </sharedItems>
    </cacheField>
    <cacheField name="Number of trees sold" numFmtId="0">
      <sharedItems containsSemiMixedTypes="0" containsString="0" containsNumber="1" containsInteger="1" minValue="8200000" maxValue="33020000"/>
    </cacheField>
    <cacheField name="Average Tree Price" numFmtId="0">
      <sharedItems containsSemiMixedTypes="0" containsString="0" containsNumber="1" minValue="34.869999999999997" maxValue="98.7"/>
    </cacheField>
    <cacheField name="Sales" numFmtId="0">
      <sharedItems containsSemiMixedTypes="0" containsString="0" containsNumber="1" containsInteger="1" minValue="529802000" maxValue="2046780000" count="14">
        <n v="975240000"/>
        <n v="1073996000"/>
        <n v="987350000"/>
        <n v="1165606000"/>
        <n v="1038850000"/>
        <n v="1316238000"/>
        <n v="2046780000"/>
        <n v="529802000"/>
        <n v="670225000"/>
        <n v="790250000"/>
        <n v="1195110000"/>
        <n v="884040000"/>
        <n v="867250000"/>
        <n v="183582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27000000"/>
  </r>
  <r>
    <x v="1"/>
    <x v="0"/>
    <n v="30800000"/>
  </r>
  <r>
    <x v="2"/>
    <x v="0"/>
    <n v="24500000"/>
  </r>
  <r>
    <x v="3"/>
    <x v="0"/>
    <n v="33020000"/>
  </r>
  <r>
    <x v="4"/>
    <x v="0"/>
    <n v="26300000"/>
  </r>
  <r>
    <x v="5"/>
    <x v="0"/>
    <n v="25900000"/>
  </r>
  <r>
    <x v="6"/>
    <x v="0"/>
    <n v="27400000"/>
  </r>
  <r>
    <x v="0"/>
    <x v="1"/>
    <n v="8200000"/>
  </r>
  <r>
    <x v="1"/>
    <x v="1"/>
    <n v="9500000"/>
  </r>
  <r>
    <x v="2"/>
    <x v="1"/>
    <n v="10900000"/>
  </r>
  <r>
    <x v="3"/>
    <x v="1"/>
    <n v="14700000"/>
  </r>
  <r>
    <x v="4"/>
    <x v="1"/>
    <n v="13900000"/>
  </r>
  <r>
    <x v="5"/>
    <x v="1"/>
    <n v="12500000"/>
  </r>
  <r>
    <x v="6"/>
    <x v="1"/>
    <n v="186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27000000"/>
    <x v="0"/>
  </r>
  <r>
    <x v="1"/>
    <x v="0"/>
    <n v="30800000"/>
    <x v="1"/>
  </r>
  <r>
    <x v="2"/>
    <x v="0"/>
    <n v="24500000"/>
    <x v="2"/>
  </r>
  <r>
    <x v="3"/>
    <x v="0"/>
    <n v="33020000"/>
    <x v="3"/>
  </r>
  <r>
    <x v="4"/>
    <x v="0"/>
    <n v="26300000"/>
    <x v="4"/>
  </r>
  <r>
    <x v="5"/>
    <x v="0"/>
    <n v="25900000"/>
    <x v="5"/>
  </r>
  <r>
    <x v="6"/>
    <x v="0"/>
    <n v="27400000"/>
    <x v="6"/>
  </r>
  <r>
    <x v="0"/>
    <x v="1"/>
    <n v="8200000"/>
    <x v="7"/>
  </r>
  <r>
    <x v="1"/>
    <x v="1"/>
    <n v="9500000"/>
    <x v="8"/>
  </r>
  <r>
    <x v="2"/>
    <x v="1"/>
    <n v="10900000"/>
    <x v="9"/>
  </r>
  <r>
    <x v="3"/>
    <x v="1"/>
    <n v="14700000"/>
    <x v="10"/>
  </r>
  <r>
    <x v="4"/>
    <x v="1"/>
    <n v="13900000"/>
    <x v="11"/>
  </r>
  <r>
    <x v="5"/>
    <x v="1"/>
    <n v="12500000"/>
    <x v="12"/>
  </r>
  <r>
    <x v="6"/>
    <x v="1"/>
    <n v="18600000"/>
    <x v="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27000000"/>
    <n v="36.119999999999997"/>
    <x v="0"/>
  </r>
  <r>
    <x v="1"/>
    <x v="0"/>
    <n v="30800000"/>
    <n v="34.869999999999997"/>
    <x v="1"/>
  </r>
  <r>
    <x v="2"/>
    <x v="0"/>
    <n v="24500000"/>
    <n v="40.299999999999997"/>
    <x v="2"/>
  </r>
  <r>
    <x v="3"/>
    <x v="0"/>
    <n v="33020000"/>
    <n v="35.299999999999997"/>
    <x v="3"/>
  </r>
  <r>
    <x v="4"/>
    <x v="0"/>
    <n v="26300000"/>
    <n v="39.5"/>
    <x v="4"/>
  </r>
  <r>
    <x v="5"/>
    <x v="0"/>
    <n v="25900000"/>
    <n v="50.82"/>
    <x v="5"/>
  </r>
  <r>
    <x v="6"/>
    <x v="0"/>
    <n v="27400000"/>
    <n v="74.7"/>
    <x v="6"/>
  </r>
  <r>
    <x v="0"/>
    <x v="1"/>
    <n v="8200000"/>
    <n v="64.61"/>
    <x v="7"/>
  </r>
  <r>
    <x v="1"/>
    <x v="1"/>
    <n v="9500000"/>
    <n v="70.55"/>
    <x v="8"/>
  </r>
  <r>
    <x v="2"/>
    <x v="1"/>
    <n v="10900000"/>
    <n v="72.5"/>
    <x v="9"/>
  </r>
  <r>
    <x v="3"/>
    <x v="1"/>
    <n v="14700000"/>
    <n v="81.3"/>
    <x v="10"/>
  </r>
  <r>
    <x v="4"/>
    <x v="1"/>
    <n v="13900000"/>
    <n v="63.6"/>
    <x v="11"/>
  </r>
  <r>
    <x v="5"/>
    <x v="1"/>
    <n v="12500000"/>
    <n v="69.38"/>
    <x v="12"/>
  </r>
  <r>
    <x v="6"/>
    <x v="1"/>
    <n v="18600000"/>
    <n v="98.7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FBFB7-C9C5-48C3-B9E4-B8B9FD70C24A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D13" firstHeaderRow="1" firstDataRow="2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rees Sold by Type and Year (in Millions)" fld="2" baseField="0" baseItem="0" numFmtId="165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AEF6B-2E2C-4974-BF77-98DC7915CCE9}" name="PivotTable2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D13" firstHeaderRow="1" firstDataRow="2" firstDataCol="1"/>
  <pivotFields count="4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showAll="0">
      <items count="15">
        <item x="1"/>
        <item x="3"/>
        <item x="0"/>
        <item x="4"/>
        <item x="2"/>
        <item x="5"/>
        <item x="11"/>
        <item x="7"/>
        <item x="12"/>
        <item x="8"/>
        <item x="9"/>
        <item x="6"/>
        <item x="10"/>
        <item x="1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g Tree Price by Type and Year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F461B-8552-4188-B58C-5A3546AC24B3}" name="PivotTable2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:D14" firstHeaderRow="1" firstDataRow="2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ales by Type and Year in Billions" fld="4" baseField="0" baseItem="5" numFmtId="16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8BBCB4-6ED7-472A-9D40-EF2B4CA05D6C}" name="Table4" displayName="Table4" ref="B5:E12" totalsRowShown="0">
  <autoFilter ref="B5:E12" xr:uid="{B78BBCB4-6ED7-472A-9D40-EF2B4CA05D6C}"/>
  <tableColumns count="4">
    <tableColumn id="1" xr3:uid="{E0D67F25-0794-4760-8A0E-4D6472F4D729}" name="Real vs. Fake Tree Market Share"/>
    <tableColumn id="2" xr3:uid="{451EB39E-3684-41D1-8FF3-9CA6A8D68ACE}" name="Fake Tree" dataDxfId="1"/>
    <tableColumn id="3" xr3:uid="{9D6458F9-5FE4-478C-9D6C-50FFD81C0DDB}" name="Real Tree" dataDxfId="0"/>
    <tableColumn id="4" xr3:uid="{68039F09-802A-4E82-9424-BD5D4919B141}" name="Grand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5E3A-5891-4447-9C82-9A907D8D8C18}">
  <dimension ref="A4:D13"/>
  <sheetViews>
    <sheetView workbookViewId="0">
      <selection activeCell="A4" sqref="A4"/>
    </sheetView>
  </sheetViews>
  <sheetFormatPr defaultRowHeight="14.5" x14ac:dyDescent="0.35"/>
  <cols>
    <col min="1" max="1" width="24.453125" bestFit="1" customWidth="1"/>
    <col min="2" max="2" width="15.6328125" bestFit="1" customWidth="1"/>
    <col min="3" max="3" width="8.1796875" bestFit="1" customWidth="1"/>
    <col min="4" max="4" width="10.36328125" bestFit="1" customWidth="1"/>
    <col min="5" max="5" width="8.453125" bestFit="1" customWidth="1"/>
    <col min="6" max="6" width="8.81640625" bestFit="1" customWidth="1"/>
    <col min="7" max="7" width="9.26953125" bestFit="1" customWidth="1"/>
    <col min="8" max="9" width="8.81640625" bestFit="1" customWidth="1"/>
    <col min="10" max="10" width="9.26953125" bestFit="1" customWidth="1"/>
    <col min="11" max="12" width="8.81640625" bestFit="1" customWidth="1"/>
    <col min="13" max="13" width="9.26953125" bestFit="1" customWidth="1"/>
    <col min="14" max="15" width="8.81640625" bestFit="1" customWidth="1"/>
    <col min="16" max="16" width="9.26953125" bestFit="1" customWidth="1"/>
    <col min="17" max="18" width="8.81640625" bestFit="1" customWidth="1"/>
    <col min="19" max="19" width="9.26953125" bestFit="1" customWidth="1"/>
    <col min="20" max="21" width="8.81640625" bestFit="1" customWidth="1"/>
    <col min="22" max="22" width="9.26953125" bestFit="1" customWidth="1"/>
    <col min="23" max="23" width="10.36328125" bestFit="1" customWidth="1"/>
  </cols>
  <sheetData>
    <row r="4" spans="1:4" x14ac:dyDescent="0.35">
      <c r="A4" s="1" t="s">
        <v>16</v>
      </c>
      <c r="B4" s="1" t="s">
        <v>10</v>
      </c>
    </row>
    <row r="5" spans="1:4" x14ac:dyDescent="0.35">
      <c r="A5" s="1" t="s">
        <v>8</v>
      </c>
      <c r="B5" t="s">
        <v>7</v>
      </c>
      <c r="C5" t="s">
        <v>6</v>
      </c>
      <c r="D5" t="s">
        <v>9</v>
      </c>
    </row>
    <row r="6" spans="1:4" x14ac:dyDescent="0.35">
      <c r="A6" s="2">
        <v>2010</v>
      </c>
      <c r="B6" s="5">
        <v>8200000</v>
      </c>
      <c r="C6" s="5">
        <v>27000000</v>
      </c>
      <c r="D6" s="5">
        <v>35200000</v>
      </c>
    </row>
    <row r="7" spans="1:4" x14ac:dyDescent="0.35">
      <c r="A7" s="2">
        <v>2011</v>
      </c>
      <c r="B7" s="5">
        <v>9500000</v>
      </c>
      <c r="C7" s="5">
        <v>30800000</v>
      </c>
      <c r="D7" s="5">
        <v>40300000</v>
      </c>
    </row>
    <row r="8" spans="1:4" x14ac:dyDescent="0.35">
      <c r="A8" s="2">
        <v>2012</v>
      </c>
      <c r="B8" s="5">
        <v>10900000</v>
      </c>
      <c r="C8" s="5">
        <v>24500000</v>
      </c>
      <c r="D8" s="5">
        <v>35400000</v>
      </c>
    </row>
    <row r="9" spans="1:4" x14ac:dyDescent="0.35">
      <c r="A9" s="2">
        <v>2013</v>
      </c>
      <c r="B9" s="5">
        <v>14700000</v>
      </c>
      <c r="C9" s="5">
        <v>33020000</v>
      </c>
      <c r="D9" s="5">
        <v>47720000</v>
      </c>
    </row>
    <row r="10" spans="1:4" x14ac:dyDescent="0.35">
      <c r="A10" s="2">
        <v>2014</v>
      </c>
      <c r="B10" s="5">
        <v>13900000</v>
      </c>
      <c r="C10" s="5">
        <v>26300000</v>
      </c>
      <c r="D10" s="5">
        <v>40200000</v>
      </c>
    </row>
    <row r="11" spans="1:4" x14ac:dyDescent="0.35">
      <c r="A11" s="2">
        <v>2015</v>
      </c>
      <c r="B11" s="5">
        <v>12500000</v>
      </c>
      <c r="C11" s="5">
        <v>25900000</v>
      </c>
      <c r="D11" s="5">
        <v>38400000</v>
      </c>
    </row>
    <row r="12" spans="1:4" x14ac:dyDescent="0.35">
      <c r="A12" s="2">
        <v>2016</v>
      </c>
      <c r="B12" s="5">
        <v>18600000</v>
      </c>
      <c r="C12" s="5">
        <v>27400000</v>
      </c>
      <c r="D12" s="5">
        <v>46000000</v>
      </c>
    </row>
    <row r="13" spans="1:4" x14ac:dyDescent="0.35">
      <c r="A13" s="2" t="s">
        <v>9</v>
      </c>
      <c r="B13" s="5">
        <v>88300000</v>
      </c>
      <c r="C13" s="5">
        <v>194920000</v>
      </c>
      <c r="D13" s="5">
        <v>283220000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E148-25E4-4C10-BDEA-2EA2FF0F4F40}">
  <dimension ref="A1:E8"/>
  <sheetViews>
    <sheetView topLeftCell="B1" workbookViewId="0">
      <selection activeCell="E7" sqref="E7"/>
    </sheetView>
  </sheetViews>
  <sheetFormatPr defaultRowHeight="14.5" x14ac:dyDescent="0.35"/>
  <cols>
    <col min="5" max="5" width="11.453125" bestFit="1" customWidth="1"/>
  </cols>
  <sheetData>
    <row r="1" spans="1:5" x14ac:dyDescent="0.35">
      <c r="A1" s="6" t="s">
        <v>8</v>
      </c>
      <c r="B1" s="6" t="s">
        <v>7</v>
      </c>
      <c r="C1" s="6" t="s">
        <v>6</v>
      </c>
    </row>
    <row r="2" spans="1:5" x14ac:dyDescent="0.35">
      <c r="A2" s="2">
        <v>2010</v>
      </c>
      <c r="B2" s="5">
        <v>8200000</v>
      </c>
      <c r="C2" s="5">
        <v>27000000</v>
      </c>
    </row>
    <row r="3" spans="1:5" x14ac:dyDescent="0.35">
      <c r="A3" s="2">
        <v>2011</v>
      </c>
      <c r="B3" s="5">
        <v>9500000</v>
      </c>
      <c r="C3" s="5">
        <v>30800000</v>
      </c>
    </row>
    <row r="4" spans="1:5" x14ac:dyDescent="0.35">
      <c r="A4" s="2">
        <v>2012</v>
      </c>
      <c r="B4" s="5">
        <v>10900000</v>
      </c>
      <c r="C4" s="5">
        <v>24500000</v>
      </c>
    </row>
    <row r="5" spans="1:5" x14ac:dyDescent="0.35">
      <c r="A5" s="2">
        <v>2013</v>
      </c>
      <c r="B5" s="5">
        <v>14700000</v>
      </c>
      <c r="C5" s="5">
        <v>33020000</v>
      </c>
    </row>
    <row r="6" spans="1:5" x14ac:dyDescent="0.35">
      <c r="A6" s="2">
        <v>2014</v>
      </c>
      <c r="B6" s="5">
        <v>13900000</v>
      </c>
      <c r="C6" s="5">
        <v>26300000</v>
      </c>
    </row>
    <row r="7" spans="1:5" x14ac:dyDescent="0.35">
      <c r="A7" s="2">
        <v>2015</v>
      </c>
      <c r="B7" s="5">
        <v>12500000</v>
      </c>
      <c r="C7" s="5">
        <v>25900000</v>
      </c>
      <c r="E7" s="5">
        <f>AVERAGE(C2:C8)</f>
        <v>27845714.285714287</v>
      </c>
    </row>
    <row r="8" spans="1:5" x14ac:dyDescent="0.35">
      <c r="A8" s="2">
        <v>2016</v>
      </c>
      <c r="B8" s="5">
        <v>18600000</v>
      </c>
      <c r="C8" s="5">
        <v>27400000</v>
      </c>
      <c r="E8" s="5">
        <f>AVERAGE(B2:B8)</f>
        <v>12614285.714285715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E2D3-ECB2-4E4B-B382-4BC8896AD211}">
  <dimension ref="A4:D13"/>
  <sheetViews>
    <sheetView topLeftCell="A10" workbookViewId="0">
      <selection activeCell="C12" sqref="A5:C12"/>
    </sheetView>
  </sheetViews>
  <sheetFormatPr defaultRowHeight="14.5" x14ac:dyDescent="0.35"/>
  <cols>
    <col min="1" max="1" width="22.36328125" bestFit="1" customWidth="1"/>
    <col min="2" max="2" width="15.6328125" bestFit="1" customWidth="1"/>
    <col min="3" max="3" width="8.1796875" bestFit="1" customWidth="1"/>
    <col min="4" max="4" width="10.36328125" bestFit="1" customWidth="1"/>
    <col min="5" max="6" width="4.81640625" bestFit="1" customWidth="1"/>
    <col min="7" max="7" width="5.81640625" bestFit="1" customWidth="1"/>
    <col min="8" max="8" width="4.81640625" bestFit="1" customWidth="1"/>
    <col min="9" max="11" width="5.81640625" bestFit="1" customWidth="1"/>
    <col min="12" max="15" width="4.81640625" bestFit="1" customWidth="1"/>
    <col min="16" max="16" width="10.36328125" bestFit="1" customWidth="1"/>
  </cols>
  <sheetData>
    <row r="4" spans="1:4" x14ac:dyDescent="0.35">
      <c r="A4" s="1" t="s">
        <v>17</v>
      </c>
      <c r="B4" s="1" t="s">
        <v>10</v>
      </c>
    </row>
    <row r="5" spans="1:4" x14ac:dyDescent="0.35">
      <c r="A5" s="1" t="s">
        <v>8</v>
      </c>
      <c r="B5" t="s">
        <v>7</v>
      </c>
      <c r="C5" t="s">
        <v>6</v>
      </c>
      <c r="D5" t="s">
        <v>9</v>
      </c>
    </row>
    <row r="6" spans="1:4" x14ac:dyDescent="0.35">
      <c r="A6" s="2">
        <v>2010</v>
      </c>
      <c r="B6">
        <v>64.61</v>
      </c>
      <c r="C6">
        <v>36.119999999999997</v>
      </c>
      <c r="D6">
        <v>100.72999999999999</v>
      </c>
    </row>
    <row r="7" spans="1:4" x14ac:dyDescent="0.35">
      <c r="A7" s="2">
        <v>2011</v>
      </c>
      <c r="B7">
        <v>70.55</v>
      </c>
      <c r="C7">
        <v>34.869999999999997</v>
      </c>
      <c r="D7">
        <v>105.41999999999999</v>
      </c>
    </row>
    <row r="8" spans="1:4" x14ac:dyDescent="0.35">
      <c r="A8" s="2">
        <v>2012</v>
      </c>
      <c r="B8">
        <v>72.5</v>
      </c>
      <c r="C8">
        <v>40.299999999999997</v>
      </c>
      <c r="D8">
        <v>112.8</v>
      </c>
    </row>
    <row r="9" spans="1:4" x14ac:dyDescent="0.35">
      <c r="A9" s="2">
        <v>2013</v>
      </c>
      <c r="B9">
        <v>81.3</v>
      </c>
      <c r="C9">
        <v>35.299999999999997</v>
      </c>
      <c r="D9">
        <v>116.6</v>
      </c>
    </row>
    <row r="10" spans="1:4" x14ac:dyDescent="0.35">
      <c r="A10" s="2">
        <v>2014</v>
      </c>
      <c r="B10">
        <v>63.6</v>
      </c>
      <c r="C10">
        <v>39.5</v>
      </c>
      <c r="D10">
        <v>103.1</v>
      </c>
    </row>
    <row r="11" spans="1:4" x14ac:dyDescent="0.35">
      <c r="A11" s="2">
        <v>2015</v>
      </c>
      <c r="B11">
        <v>69.38</v>
      </c>
      <c r="C11">
        <v>50.82</v>
      </c>
      <c r="D11">
        <v>120.19999999999999</v>
      </c>
    </row>
    <row r="12" spans="1:4" x14ac:dyDescent="0.35">
      <c r="A12" s="2">
        <v>2016</v>
      </c>
      <c r="B12">
        <v>98.7</v>
      </c>
      <c r="C12">
        <v>74.7</v>
      </c>
      <c r="D12">
        <v>173.4</v>
      </c>
    </row>
    <row r="13" spans="1:4" x14ac:dyDescent="0.35">
      <c r="A13" s="2" t="s">
        <v>9</v>
      </c>
      <c r="B13">
        <v>520.64</v>
      </c>
      <c r="C13">
        <v>311.60999999999996</v>
      </c>
      <c r="D13">
        <v>832.24999999999989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D90E-1D57-4CAB-8F6C-B0C008054B9A}">
  <dimension ref="A1:C8"/>
  <sheetViews>
    <sheetView workbookViewId="0">
      <selection sqref="A1:C8"/>
    </sheetView>
  </sheetViews>
  <sheetFormatPr defaultRowHeight="14.5" x14ac:dyDescent="0.35"/>
  <sheetData>
    <row r="1" spans="1:3" x14ac:dyDescent="0.35">
      <c r="A1" s="6" t="s">
        <v>8</v>
      </c>
      <c r="B1" s="6" t="s">
        <v>7</v>
      </c>
      <c r="C1" s="6" t="s">
        <v>6</v>
      </c>
    </row>
    <row r="2" spans="1:3" x14ac:dyDescent="0.35">
      <c r="A2" s="2">
        <v>2010</v>
      </c>
      <c r="B2">
        <v>64.61</v>
      </c>
      <c r="C2">
        <v>36.119999999999997</v>
      </c>
    </row>
    <row r="3" spans="1:3" x14ac:dyDescent="0.35">
      <c r="A3" s="2">
        <v>2011</v>
      </c>
      <c r="B3">
        <v>70.55</v>
      </c>
      <c r="C3">
        <v>34.869999999999997</v>
      </c>
    </row>
    <row r="4" spans="1:3" x14ac:dyDescent="0.35">
      <c r="A4" s="2">
        <v>2012</v>
      </c>
      <c r="B4">
        <v>72.5</v>
      </c>
      <c r="C4">
        <v>40.299999999999997</v>
      </c>
    </row>
    <row r="5" spans="1:3" x14ac:dyDescent="0.35">
      <c r="A5" s="2">
        <v>2013</v>
      </c>
      <c r="B5">
        <v>81.3</v>
      </c>
      <c r="C5">
        <v>35.299999999999997</v>
      </c>
    </row>
    <row r="6" spans="1:3" x14ac:dyDescent="0.35">
      <c r="A6" s="2">
        <v>2014</v>
      </c>
      <c r="B6">
        <v>63.6</v>
      </c>
      <c r="C6">
        <v>39.5</v>
      </c>
    </row>
    <row r="7" spans="1:3" x14ac:dyDescent="0.35">
      <c r="A7" s="2">
        <v>2015</v>
      </c>
      <c r="B7">
        <v>69.38</v>
      </c>
      <c r="C7">
        <v>50.82</v>
      </c>
    </row>
    <row r="8" spans="1:3" x14ac:dyDescent="0.35">
      <c r="A8" s="2">
        <v>2016</v>
      </c>
      <c r="B8">
        <v>98.7</v>
      </c>
      <c r="C8">
        <v>74.7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1CC2-21F4-4DB6-85F4-360FD6D6011B}">
  <dimension ref="A5:D27"/>
  <sheetViews>
    <sheetView zoomScale="80" zoomScaleNormal="100" workbookViewId="0">
      <selection activeCell="C13" sqref="A6:C13"/>
    </sheetView>
  </sheetViews>
  <sheetFormatPr defaultRowHeight="14.5" x14ac:dyDescent="0.35"/>
  <cols>
    <col min="1" max="1" width="29" bestFit="1" customWidth="1"/>
    <col min="2" max="2" width="15.6328125" bestFit="1" customWidth="1"/>
    <col min="3" max="4" width="10.453125" customWidth="1"/>
  </cols>
  <sheetData>
    <row r="5" spans="1:4" x14ac:dyDescent="0.35">
      <c r="A5" s="1" t="s">
        <v>11</v>
      </c>
      <c r="B5" s="1" t="s">
        <v>10</v>
      </c>
    </row>
    <row r="6" spans="1:4" x14ac:dyDescent="0.35">
      <c r="A6" s="1" t="s">
        <v>8</v>
      </c>
      <c r="B6" t="s">
        <v>7</v>
      </c>
      <c r="C6" t="s">
        <v>6</v>
      </c>
      <c r="D6" t="s">
        <v>9</v>
      </c>
    </row>
    <row r="7" spans="1:4" x14ac:dyDescent="0.35">
      <c r="A7" s="2">
        <v>2010</v>
      </c>
      <c r="B7" s="3">
        <v>529802000</v>
      </c>
      <c r="C7" s="3">
        <v>975240000</v>
      </c>
      <c r="D7" s="3">
        <v>1505042000</v>
      </c>
    </row>
    <row r="8" spans="1:4" x14ac:dyDescent="0.35">
      <c r="A8" s="2">
        <v>2011</v>
      </c>
      <c r="B8" s="3">
        <v>670225000</v>
      </c>
      <c r="C8" s="3">
        <v>1073996000</v>
      </c>
      <c r="D8" s="3">
        <v>1744221000</v>
      </c>
    </row>
    <row r="9" spans="1:4" x14ac:dyDescent="0.35">
      <c r="A9" s="2">
        <v>2012</v>
      </c>
      <c r="B9" s="3">
        <v>790250000</v>
      </c>
      <c r="C9" s="3">
        <v>987350000</v>
      </c>
      <c r="D9" s="3">
        <v>1777600000</v>
      </c>
    </row>
    <row r="10" spans="1:4" x14ac:dyDescent="0.35">
      <c r="A10" s="2">
        <v>2013</v>
      </c>
      <c r="B10" s="3">
        <v>1195110000</v>
      </c>
      <c r="C10" s="3">
        <v>1165606000</v>
      </c>
      <c r="D10" s="3">
        <v>2360716000</v>
      </c>
    </row>
    <row r="11" spans="1:4" x14ac:dyDescent="0.35">
      <c r="A11" s="2">
        <v>2014</v>
      </c>
      <c r="B11" s="3">
        <v>884040000</v>
      </c>
      <c r="C11" s="3">
        <v>1038850000</v>
      </c>
      <c r="D11" s="3">
        <v>1922890000</v>
      </c>
    </row>
    <row r="12" spans="1:4" x14ac:dyDescent="0.35">
      <c r="A12" s="2">
        <v>2015</v>
      </c>
      <c r="B12" s="3">
        <v>867250000</v>
      </c>
      <c r="C12" s="3">
        <v>1316238000</v>
      </c>
      <c r="D12" s="3">
        <v>2183488000</v>
      </c>
    </row>
    <row r="13" spans="1:4" x14ac:dyDescent="0.35">
      <c r="A13" s="2">
        <v>2016</v>
      </c>
      <c r="B13" s="3">
        <v>1835820000</v>
      </c>
      <c r="C13" s="3">
        <v>2046780000</v>
      </c>
      <c r="D13" s="3">
        <v>3882600000</v>
      </c>
    </row>
    <row r="14" spans="1:4" x14ac:dyDescent="0.35">
      <c r="A14" s="2" t="s">
        <v>9</v>
      </c>
      <c r="B14" s="3">
        <v>6772497000</v>
      </c>
      <c r="C14" s="3">
        <v>8604060000</v>
      </c>
      <c r="D14" s="3">
        <v>15376557000</v>
      </c>
    </row>
    <row r="18" spans="1:3" x14ac:dyDescent="0.35">
      <c r="A18" s="2"/>
      <c r="B18" s="4"/>
      <c r="C18" s="4"/>
    </row>
    <row r="19" spans="1:3" x14ac:dyDescent="0.35">
      <c r="A19" s="2"/>
      <c r="B19" s="4"/>
      <c r="C19" s="4"/>
    </row>
    <row r="20" spans="1:3" x14ac:dyDescent="0.35">
      <c r="A20" s="2"/>
      <c r="B20" s="4"/>
      <c r="C20" s="4"/>
    </row>
    <row r="21" spans="1:3" x14ac:dyDescent="0.35">
      <c r="A21" s="2"/>
      <c r="B21" s="4"/>
      <c r="C21" s="4"/>
    </row>
    <row r="22" spans="1:3" x14ac:dyDescent="0.35">
      <c r="A22" s="2"/>
      <c r="B22" s="4"/>
      <c r="C22" s="4"/>
    </row>
    <row r="23" spans="1:3" x14ac:dyDescent="0.35">
      <c r="A23" s="2"/>
      <c r="B23" s="4"/>
      <c r="C23" s="4"/>
    </row>
    <row r="24" spans="1:3" x14ac:dyDescent="0.35">
      <c r="A24" s="2"/>
      <c r="B24" s="4"/>
      <c r="C24" s="4"/>
    </row>
    <row r="27" spans="1:3" x14ac:dyDescent="0.35">
      <c r="A27" t="s">
        <v>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39D5-661B-4011-8855-697DEE78F746}">
  <dimension ref="A1:C8"/>
  <sheetViews>
    <sheetView workbookViewId="0">
      <selection activeCell="D8" sqref="D8"/>
    </sheetView>
  </sheetViews>
  <sheetFormatPr defaultRowHeight="14.5" x14ac:dyDescent="0.35"/>
  <sheetData>
    <row r="1" spans="1:3" x14ac:dyDescent="0.35">
      <c r="A1" s="6" t="s">
        <v>8</v>
      </c>
      <c r="B1" s="6" t="s">
        <v>7</v>
      </c>
      <c r="C1" s="6" t="s">
        <v>6</v>
      </c>
    </row>
    <row r="2" spans="1:3" x14ac:dyDescent="0.35">
      <c r="A2" s="2">
        <v>2010</v>
      </c>
      <c r="B2" s="3">
        <v>529802000</v>
      </c>
      <c r="C2" s="3">
        <v>975240000</v>
      </c>
    </row>
    <row r="3" spans="1:3" x14ac:dyDescent="0.35">
      <c r="A3" s="2">
        <v>2011</v>
      </c>
      <c r="B3" s="3">
        <v>670225000</v>
      </c>
      <c r="C3" s="3">
        <v>1073996000</v>
      </c>
    </row>
    <row r="4" spans="1:3" x14ac:dyDescent="0.35">
      <c r="A4" s="2">
        <v>2012</v>
      </c>
      <c r="B4" s="3">
        <v>790250000</v>
      </c>
      <c r="C4" s="3">
        <v>987350000</v>
      </c>
    </row>
    <row r="5" spans="1:3" x14ac:dyDescent="0.35">
      <c r="A5" s="2">
        <v>2013</v>
      </c>
      <c r="B5" s="3">
        <v>1195110000</v>
      </c>
      <c r="C5" s="3">
        <v>1165606000</v>
      </c>
    </row>
    <row r="6" spans="1:3" x14ac:dyDescent="0.35">
      <c r="A6" s="2">
        <v>2014</v>
      </c>
      <c r="B6" s="3">
        <v>884040000</v>
      </c>
      <c r="C6" s="3">
        <v>1038850000</v>
      </c>
    </row>
    <row r="7" spans="1:3" x14ac:dyDescent="0.35">
      <c r="A7" s="2">
        <v>2015</v>
      </c>
      <c r="B7" s="3">
        <v>867250000</v>
      </c>
      <c r="C7" s="3">
        <v>1316238000</v>
      </c>
    </row>
    <row r="8" spans="1:3" x14ac:dyDescent="0.35">
      <c r="A8" s="2">
        <v>2016</v>
      </c>
      <c r="B8" s="3">
        <v>1835820000</v>
      </c>
      <c r="C8" s="3">
        <v>2046780000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E985-9BDB-461E-867E-606596679ED5}">
  <dimension ref="B5:E12"/>
  <sheetViews>
    <sheetView topLeftCell="A6" workbookViewId="0">
      <selection activeCell="B5" sqref="B5:E11"/>
    </sheetView>
  </sheetViews>
  <sheetFormatPr defaultRowHeight="14.5" x14ac:dyDescent="0.35"/>
  <cols>
    <col min="2" max="2" width="28.81640625" customWidth="1"/>
    <col min="3" max="3" width="10.7265625" customWidth="1"/>
    <col min="4" max="4" width="10.453125" customWidth="1"/>
    <col min="5" max="5" width="12.36328125" customWidth="1"/>
  </cols>
  <sheetData>
    <row r="5" spans="2:5" x14ac:dyDescent="0.35">
      <c r="B5" t="s">
        <v>12</v>
      </c>
      <c r="C5" t="s">
        <v>13</v>
      </c>
      <c r="D5" t="s">
        <v>14</v>
      </c>
      <c r="E5" t="s">
        <v>9</v>
      </c>
    </row>
    <row r="6" spans="2:5" x14ac:dyDescent="0.35">
      <c r="B6">
        <v>2010</v>
      </c>
      <c r="C6" s="4">
        <v>0.35201808321628236</v>
      </c>
      <c r="D6" s="4">
        <v>0.64798191678371764</v>
      </c>
      <c r="E6">
        <v>1</v>
      </c>
    </row>
    <row r="7" spans="2:5" x14ac:dyDescent="0.35">
      <c r="B7">
        <v>2011</v>
      </c>
      <c r="C7" s="4">
        <v>0.38425463287049061</v>
      </c>
      <c r="D7" s="4">
        <v>0.61574536712950945</v>
      </c>
      <c r="E7">
        <v>1</v>
      </c>
    </row>
    <row r="8" spans="2:5" x14ac:dyDescent="0.35">
      <c r="B8">
        <v>2012</v>
      </c>
      <c r="C8" s="4">
        <v>0.44456008100810079</v>
      </c>
      <c r="D8" s="4">
        <v>0.55543991899189915</v>
      </c>
      <c r="E8">
        <v>1</v>
      </c>
    </row>
    <row r="9" spans="2:5" x14ac:dyDescent="0.35">
      <c r="B9">
        <v>2013</v>
      </c>
      <c r="C9" s="4">
        <v>0.50624895158926364</v>
      </c>
      <c r="D9" s="4">
        <v>0.49375104841073642</v>
      </c>
      <c r="E9">
        <v>1</v>
      </c>
    </row>
    <row r="10" spans="2:5" x14ac:dyDescent="0.35">
      <c r="B10">
        <v>2014</v>
      </c>
      <c r="C10" s="4">
        <v>0.45974548726136183</v>
      </c>
      <c r="D10" s="4">
        <v>0.54025451273863823</v>
      </c>
      <c r="E10">
        <v>1</v>
      </c>
    </row>
    <row r="11" spans="2:5" x14ac:dyDescent="0.35">
      <c r="B11">
        <v>2015</v>
      </c>
      <c r="C11" s="4">
        <v>0.39718560395110941</v>
      </c>
      <c r="D11" s="4">
        <v>0.60281439604889053</v>
      </c>
      <c r="E11">
        <v>1</v>
      </c>
    </row>
    <row r="12" spans="2:5" x14ac:dyDescent="0.35">
      <c r="B12">
        <v>2016</v>
      </c>
      <c r="C12" s="4">
        <v>0.47283263792304125</v>
      </c>
      <c r="D12" s="4">
        <v>0.52716736207695869</v>
      </c>
      <c r="E12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92C9-FDBE-4BC1-B252-20D579C673D9}">
  <dimension ref="A2:D17"/>
  <sheetViews>
    <sheetView tabSelected="1" workbookViewId="0">
      <selection activeCell="E15" sqref="E15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10.81640625" bestFit="1" customWidth="1"/>
    <col min="4" max="4" width="11.81640625" bestFit="1" customWidth="1"/>
  </cols>
  <sheetData>
    <row r="2" spans="1:4" x14ac:dyDescent="0.35">
      <c r="A2" t="s">
        <v>8</v>
      </c>
      <c r="B2" t="s">
        <v>7</v>
      </c>
      <c r="C2" t="s">
        <v>6</v>
      </c>
      <c r="D2" t="s">
        <v>9</v>
      </c>
    </row>
    <row r="3" spans="1:4" x14ac:dyDescent="0.35">
      <c r="A3">
        <v>2010</v>
      </c>
      <c r="B3">
        <v>529802000</v>
      </c>
      <c r="C3">
        <v>975240000</v>
      </c>
      <c r="D3">
        <v>1505042000</v>
      </c>
    </row>
    <row r="4" spans="1:4" x14ac:dyDescent="0.35">
      <c r="A4">
        <v>2011</v>
      </c>
      <c r="B4">
        <v>670225000</v>
      </c>
      <c r="C4">
        <v>1073996000</v>
      </c>
      <c r="D4">
        <v>1744221000</v>
      </c>
    </row>
    <row r="5" spans="1:4" x14ac:dyDescent="0.35">
      <c r="A5">
        <v>2012</v>
      </c>
      <c r="B5">
        <v>790250000</v>
      </c>
      <c r="C5">
        <v>987350000</v>
      </c>
      <c r="D5">
        <v>1777600000</v>
      </c>
    </row>
    <row r="6" spans="1:4" x14ac:dyDescent="0.35">
      <c r="A6">
        <v>2013</v>
      </c>
      <c r="B6">
        <v>1195110000</v>
      </c>
      <c r="C6">
        <v>1165606000</v>
      </c>
      <c r="D6">
        <v>2360716000</v>
      </c>
    </row>
    <row r="7" spans="1:4" x14ac:dyDescent="0.35">
      <c r="A7">
        <v>2014</v>
      </c>
      <c r="B7">
        <v>884040000</v>
      </c>
      <c r="C7">
        <v>1038850000</v>
      </c>
      <c r="D7">
        <v>1922890000</v>
      </c>
    </row>
    <row r="8" spans="1:4" x14ac:dyDescent="0.35">
      <c r="A8">
        <v>2015</v>
      </c>
      <c r="B8">
        <v>867250000</v>
      </c>
      <c r="C8">
        <v>1316238000</v>
      </c>
      <c r="D8">
        <v>2183488000</v>
      </c>
    </row>
    <row r="9" spans="1:4" x14ac:dyDescent="0.35">
      <c r="A9">
        <v>2016</v>
      </c>
      <c r="B9">
        <v>1835820000</v>
      </c>
      <c r="C9">
        <v>2046780000</v>
      </c>
      <c r="D9">
        <v>3882600000</v>
      </c>
    </row>
    <row r="11" spans="1:4" x14ac:dyDescent="0.35">
      <c r="A11" t="s">
        <v>8</v>
      </c>
      <c r="B11" t="s">
        <v>7</v>
      </c>
      <c r="C11" t="s">
        <v>6</v>
      </c>
    </row>
    <row r="12" spans="1:4" x14ac:dyDescent="0.35">
      <c r="A12">
        <v>2011</v>
      </c>
      <c r="B12" s="7">
        <f>(B4-B3)/B3</f>
        <v>0.26504807456370494</v>
      </c>
      <c r="C12" s="7">
        <f>(C4-C3)/C3</f>
        <v>0.10126327878265863</v>
      </c>
    </row>
    <row r="13" spans="1:4" x14ac:dyDescent="0.35">
      <c r="A13">
        <v>2012</v>
      </c>
      <c r="B13" s="7">
        <f t="shared" ref="B13:C17" si="0">(B5-B4)/B4</f>
        <v>0.17908165168413592</v>
      </c>
      <c r="C13" s="7">
        <f t="shared" si="0"/>
        <v>-8.0676278123940875E-2</v>
      </c>
    </row>
    <row r="14" spans="1:4" x14ac:dyDescent="0.35">
      <c r="A14">
        <v>2013</v>
      </c>
      <c r="B14" s="7">
        <f t="shared" si="0"/>
        <v>0.51231888642834544</v>
      </c>
      <c r="C14" s="7">
        <f t="shared" si="0"/>
        <v>0.18053982883475972</v>
      </c>
    </row>
    <row r="15" spans="1:4" x14ac:dyDescent="0.35">
      <c r="A15">
        <v>2014</v>
      </c>
      <c r="B15" s="7">
        <f t="shared" si="0"/>
        <v>-0.26028566408113063</v>
      </c>
      <c r="C15" s="7">
        <f t="shared" si="0"/>
        <v>-0.10874686643685774</v>
      </c>
    </row>
    <row r="16" spans="1:4" x14ac:dyDescent="0.35">
      <c r="A16">
        <v>2015</v>
      </c>
      <c r="B16" s="7">
        <f t="shared" si="0"/>
        <v>-1.8992353287181577E-2</v>
      </c>
      <c r="C16" s="7">
        <f t="shared" si="0"/>
        <v>0.26701448717331666</v>
      </c>
    </row>
    <row r="17" spans="1:3" x14ac:dyDescent="0.35">
      <c r="A17">
        <v>2016</v>
      </c>
      <c r="B17" s="7">
        <f t="shared" si="0"/>
        <v>1.1168290573652349</v>
      </c>
      <c r="C17" s="7">
        <f t="shared" si="0"/>
        <v>0.55502272385389273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E111-66C7-4D86-86DD-2B4C36E17162}">
  <dimension ref="A1:F15"/>
  <sheetViews>
    <sheetView topLeftCell="B1" workbookViewId="0">
      <selection activeCell="F15" sqref="B1:F15"/>
    </sheetView>
  </sheetViews>
  <sheetFormatPr defaultRowHeight="14.5" x14ac:dyDescent="0.35"/>
  <cols>
    <col min="4" max="4" width="40.08984375" customWidth="1"/>
    <col min="5" max="5" width="3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2010</v>
      </c>
      <c r="C2" t="s">
        <v>6</v>
      </c>
      <c r="D2">
        <v>27000000</v>
      </c>
      <c r="E2">
        <v>36.119999999999997</v>
      </c>
      <c r="F2">
        <v>975240000</v>
      </c>
    </row>
    <row r="3" spans="1:6" x14ac:dyDescent="0.35">
      <c r="A3">
        <v>1</v>
      </c>
      <c r="B3">
        <v>2011</v>
      </c>
      <c r="C3" t="s">
        <v>6</v>
      </c>
      <c r="D3">
        <v>30800000</v>
      </c>
      <c r="E3">
        <v>34.869999999999997</v>
      </c>
      <c r="F3">
        <v>1073996000</v>
      </c>
    </row>
    <row r="4" spans="1:6" x14ac:dyDescent="0.35">
      <c r="A4">
        <v>2</v>
      </c>
      <c r="B4">
        <v>2012</v>
      </c>
      <c r="C4" t="s">
        <v>6</v>
      </c>
      <c r="D4">
        <v>24500000</v>
      </c>
      <c r="E4">
        <v>40.299999999999997</v>
      </c>
      <c r="F4">
        <v>987350000</v>
      </c>
    </row>
    <row r="5" spans="1:6" x14ac:dyDescent="0.35">
      <c r="A5">
        <v>3</v>
      </c>
      <c r="B5">
        <v>2013</v>
      </c>
      <c r="C5" t="s">
        <v>6</v>
      </c>
      <c r="D5">
        <v>33020000</v>
      </c>
      <c r="E5">
        <v>35.299999999999997</v>
      </c>
      <c r="F5">
        <v>1165606000</v>
      </c>
    </row>
    <row r="6" spans="1:6" x14ac:dyDescent="0.35">
      <c r="A6">
        <v>4</v>
      </c>
      <c r="B6">
        <v>2014</v>
      </c>
      <c r="C6" t="s">
        <v>6</v>
      </c>
      <c r="D6">
        <v>26300000</v>
      </c>
      <c r="E6">
        <v>39.5</v>
      </c>
      <c r="F6">
        <v>1038850000</v>
      </c>
    </row>
    <row r="7" spans="1:6" x14ac:dyDescent="0.35">
      <c r="A7">
        <v>5</v>
      </c>
      <c r="B7">
        <v>2015</v>
      </c>
      <c r="C7" t="s">
        <v>6</v>
      </c>
      <c r="D7">
        <v>25900000</v>
      </c>
      <c r="E7">
        <v>50.82</v>
      </c>
      <c r="F7">
        <v>1316238000</v>
      </c>
    </row>
    <row r="8" spans="1:6" x14ac:dyDescent="0.35">
      <c r="A8">
        <v>6</v>
      </c>
      <c r="B8">
        <v>2016</v>
      </c>
      <c r="C8" t="s">
        <v>6</v>
      </c>
      <c r="D8">
        <v>27400000</v>
      </c>
      <c r="E8">
        <v>74.7</v>
      </c>
      <c r="F8">
        <v>2046780000</v>
      </c>
    </row>
    <row r="9" spans="1:6" x14ac:dyDescent="0.35">
      <c r="A9">
        <v>7</v>
      </c>
      <c r="B9">
        <v>2010</v>
      </c>
      <c r="C9" t="s">
        <v>7</v>
      </c>
      <c r="D9">
        <v>8200000</v>
      </c>
      <c r="E9">
        <v>64.61</v>
      </c>
      <c r="F9">
        <v>529802000</v>
      </c>
    </row>
    <row r="10" spans="1:6" x14ac:dyDescent="0.35">
      <c r="A10">
        <v>8</v>
      </c>
      <c r="B10">
        <v>2011</v>
      </c>
      <c r="C10" t="s">
        <v>7</v>
      </c>
      <c r="D10">
        <v>9500000</v>
      </c>
      <c r="E10">
        <v>70.55</v>
      </c>
      <c r="F10">
        <v>670225000</v>
      </c>
    </row>
    <row r="11" spans="1:6" x14ac:dyDescent="0.35">
      <c r="A11">
        <v>9</v>
      </c>
      <c r="B11">
        <v>2012</v>
      </c>
      <c r="C11" t="s">
        <v>7</v>
      </c>
      <c r="D11">
        <v>10900000</v>
      </c>
      <c r="E11">
        <v>72.5</v>
      </c>
      <c r="F11">
        <v>790250000</v>
      </c>
    </row>
    <row r="12" spans="1:6" x14ac:dyDescent="0.35">
      <c r="A12">
        <v>10</v>
      </c>
      <c r="B12">
        <v>2013</v>
      </c>
      <c r="C12" t="s">
        <v>7</v>
      </c>
      <c r="D12">
        <v>14700000</v>
      </c>
      <c r="E12">
        <v>81.3</v>
      </c>
      <c r="F12">
        <v>1195110000</v>
      </c>
    </row>
    <row r="13" spans="1:6" x14ac:dyDescent="0.35">
      <c r="A13">
        <v>11</v>
      </c>
      <c r="B13">
        <v>2014</v>
      </c>
      <c r="C13" t="s">
        <v>7</v>
      </c>
      <c r="D13">
        <v>13900000</v>
      </c>
      <c r="E13">
        <v>63.6</v>
      </c>
      <c r="F13">
        <v>884040000</v>
      </c>
    </row>
    <row r="14" spans="1:6" x14ac:dyDescent="0.35">
      <c r="A14">
        <v>12</v>
      </c>
      <c r="B14">
        <v>2015</v>
      </c>
      <c r="C14" t="s">
        <v>7</v>
      </c>
      <c r="D14">
        <v>12500000</v>
      </c>
      <c r="E14">
        <v>69.38</v>
      </c>
      <c r="F14">
        <v>867250000</v>
      </c>
    </row>
    <row r="15" spans="1:6" x14ac:dyDescent="0.35">
      <c r="A15">
        <v>13</v>
      </c>
      <c r="B15">
        <v>2016</v>
      </c>
      <c r="C15" t="s">
        <v>7</v>
      </c>
      <c r="D15">
        <v>18600000</v>
      </c>
      <c r="E15">
        <v>98.7</v>
      </c>
      <c r="F15">
        <v>1835820000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Trees Sold by Type and Year</vt:lpstr>
      <vt:lpstr>Trees Sold (millions)</vt:lpstr>
      <vt:lpstr>Avg Tree Price by Type and Year</vt:lpstr>
      <vt:lpstr>Avg Tree Price</vt:lpstr>
      <vt:lpstr>Sales by Type and Year</vt:lpstr>
      <vt:lpstr>Sales (billions)</vt:lpstr>
      <vt:lpstr>Real vs. Fake Tree Market Share</vt:lpstr>
      <vt:lpstr>YOY Return %</vt:lpstr>
      <vt:lpstr>Week 40 - US Christmas Tree 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Hampton Maxim</dc:creator>
  <cp:lastModifiedBy>Hampton Maxim</cp:lastModifiedBy>
  <dcterms:created xsi:type="dcterms:W3CDTF">2025-12-01T00:01:39Z</dcterms:created>
  <dcterms:modified xsi:type="dcterms:W3CDTF">2025-12-01T22:46:08Z</dcterms:modified>
</cp:coreProperties>
</file>